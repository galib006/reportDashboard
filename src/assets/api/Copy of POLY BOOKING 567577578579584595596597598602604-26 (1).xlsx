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\reportDashboard\reportDashboard\src\assets\api\"/>
    </mc:Choice>
  </mc:AlternateContent>
  <xr:revisionPtr revIDLastSave="0" documentId="13_ncr:1_{32AD8A8F-A828-43A4-85AA-F01BB8427401}" xr6:coauthVersionLast="47" xr6:coauthVersionMax="47" xr10:uidLastSave="{00000000-0000-0000-0000-000000000000}"/>
  <bookViews>
    <workbookView xWindow="-120" yWindow="-120" windowWidth="29040" windowHeight="15720" xr2:uid="{25FBADF6-7F51-4CD4-A66E-D91D95448ACD}"/>
  </bookViews>
  <sheets>
    <sheet name="Sheet2" sheetId="1" r:id="rId1"/>
  </sheets>
  <definedNames>
    <definedName name="_xlnm.Print_Area" localSheetId="0">Sheet2!$A$1:$W$42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U4" i="1"/>
  <c r="V4" i="1"/>
  <c r="T5" i="1"/>
  <c r="V5" i="1"/>
  <c r="T6" i="1"/>
  <c r="V6" i="1"/>
  <c r="T7" i="1"/>
  <c r="V7" i="1"/>
  <c r="T8" i="1"/>
  <c r="U8" i="1"/>
  <c r="V8" i="1"/>
  <c r="T9" i="1"/>
  <c r="V9" i="1"/>
  <c r="T10" i="1"/>
  <c r="U10" i="1"/>
  <c r="V10" i="1"/>
  <c r="T11" i="1"/>
  <c r="V11" i="1"/>
  <c r="T12" i="1"/>
  <c r="U12" i="1"/>
  <c r="V12" i="1"/>
  <c r="T13" i="1"/>
  <c r="V13" i="1"/>
  <c r="T14" i="1"/>
  <c r="U14" i="1"/>
  <c r="V14" i="1"/>
  <c r="T15" i="1"/>
  <c r="V15" i="1"/>
  <c r="T16" i="1"/>
  <c r="U16" i="1"/>
  <c r="V16" i="1"/>
  <c r="T17" i="1"/>
  <c r="V17" i="1"/>
  <c r="T18" i="1"/>
  <c r="U18" i="1"/>
  <c r="V18" i="1"/>
  <c r="T19" i="1"/>
  <c r="V19" i="1"/>
  <c r="T20" i="1"/>
  <c r="V20" i="1"/>
  <c r="T21" i="1"/>
  <c r="V21" i="1"/>
  <c r="T22" i="1"/>
  <c r="V22" i="1"/>
  <c r="T23" i="1"/>
  <c r="U23" i="1"/>
  <c r="V23" i="1"/>
  <c r="T24" i="1"/>
  <c r="V24" i="1"/>
  <c r="T25" i="1"/>
  <c r="V25" i="1"/>
  <c r="T26" i="1"/>
  <c r="V26" i="1"/>
  <c r="T27" i="1"/>
  <c r="V27" i="1"/>
  <c r="T28" i="1"/>
  <c r="V28" i="1"/>
  <c r="T29" i="1"/>
  <c r="V29" i="1"/>
  <c r="T30" i="1"/>
  <c r="U30" i="1"/>
  <c r="V30" i="1"/>
  <c r="T31" i="1"/>
  <c r="V31" i="1"/>
  <c r="T32" i="1"/>
  <c r="V32" i="1"/>
  <c r="T33" i="1"/>
  <c r="V33" i="1"/>
</calcChain>
</file>

<file path=xl/sharedStrings.xml><?xml version="1.0" encoding="utf-8"?>
<sst xmlns="http://schemas.openxmlformats.org/spreadsheetml/2006/main" count="252" uniqueCount="67">
  <si>
    <t>L=28 cm
W=30 cm
F=5 cm</t>
  </si>
  <si>
    <t>sussan sleepwaer/sussan apparels</t>
  </si>
  <si>
    <t>CACAO</t>
  </si>
  <si>
    <t>I-IAL-SU-L-598/26(FT)</t>
  </si>
  <si>
    <t>041150</t>
  </si>
  <si>
    <t>December</t>
  </si>
  <si>
    <t>WHITE</t>
  </si>
  <si>
    <t>FIG</t>
  </si>
  <si>
    <t>I-IAL-SU-L-597/26(FT)</t>
  </si>
  <si>
    <t>042911</t>
  </si>
  <si>
    <t>CHOCOLATE</t>
  </si>
  <si>
    <t>BLACK</t>
  </si>
  <si>
    <t>I-IAL-SU-L-596/26(FT)</t>
  </si>
  <si>
    <t>040854</t>
  </si>
  <si>
    <t>POMEGRANATE</t>
  </si>
  <si>
    <t>I-IAL-SU-L-595/26(FT)</t>
  </si>
  <si>
    <t>042234</t>
  </si>
  <si>
    <t>ANGEL BLUE</t>
  </si>
  <si>
    <t xml:space="preserve">I-IAL-SU-L-602/26(FT) </t>
  </si>
  <si>
    <t>November</t>
  </si>
  <si>
    <t>CHERRY</t>
  </si>
  <si>
    <t xml:space="preserve">I-IAL-SU-L-604/26(UFT) </t>
  </si>
  <si>
    <t>MOCHA MARLE</t>
  </si>
  <si>
    <t xml:space="preserve">I-IAL-SU-L-578/26(FT) </t>
  </si>
  <si>
    <t xml:space="preserve">I-IAL-SU-L-567/26(FT)  </t>
  </si>
  <si>
    <t xml:space="preserve">042234 </t>
  </si>
  <si>
    <t xml:space="preserve">I-IAL-SU-L-577/26(FT) </t>
  </si>
  <si>
    <t>THYME</t>
  </si>
  <si>
    <t xml:space="preserve">I-IAL-SU-L-579/26(FT) </t>
  </si>
  <si>
    <t>043241</t>
  </si>
  <si>
    <t>PINK</t>
  </si>
  <si>
    <t>I-IAL-SU-L-584/26(FT)</t>
  </si>
  <si>
    <t>OCTOBER</t>
  </si>
  <si>
    <t>Southeast Textiles Ltd, Gorai, Mirzapur</t>
  </si>
  <si>
    <t>Delivery Location</t>
  </si>
  <si>
    <t>CARTON BLISTER POLY</t>
  </si>
  <si>
    <t>GARMENT RATIO POLY</t>
  </si>
  <si>
    <t>SINGLE POLY QTY</t>
  </si>
  <si>
    <t>SIZE WISE PLY QTY (SINGLE POLY)</t>
  </si>
  <si>
    <t>S/P Measur'nt</t>
  </si>
  <si>
    <t>DEPT</t>
  </si>
  <si>
    <t>COLOR</t>
  </si>
  <si>
    <t>DESCRIPTION</t>
  </si>
  <si>
    <t>PO</t>
  </si>
  <si>
    <t>IAL</t>
  </si>
  <si>
    <t>STYLE</t>
  </si>
  <si>
    <t>Range</t>
  </si>
  <si>
    <t>AC STRIPE LOOSE FIT TANK</t>
  </si>
  <si>
    <t>AC V NECK EXT CUFF TEE</t>
  </si>
  <si>
    <t>AC RIB V NECK TANK</t>
  </si>
  <si>
    <t>AC STRIPE EXT CUFF T-SHIRT</t>
  </si>
  <si>
    <t>AC STRIPE RIB RACER TANK</t>
  </si>
  <si>
    <t>AC EXTENDED CUFF T-SHIRT</t>
  </si>
  <si>
    <t>AC RIB RACER TANK</t>
  </si>
  <si>
    <t>TPO</t>
  </si>
  <si>
    <t xml:space="preserve">18-26-03953-I </t>
  </si>
  <si>
    <t xml:space="preserve">18-26-03954-I </t>
  </si>
  <si>
    <t xml:space="preserve">18-26-03955-I </t>
  </si>
  <si>
    <t xml:space="preserve"> 18-26-03957-I </t>
  </si>
  <si>
    <t xml:space="preserve">18-26-03959-I </t>
  </si>
  <si>
    <t xml:space="preserve">18-26-03959-I , 18-26-03960-I </t>
  </si>
  <si>
    <t xml:space="preserve">18-26-03961-I </t>
  </si>
  <si>
    <t xml:space="preserve">18-26-03953-I , 18-26-03962-I </t>
  </si>
  <si>
    <t xml:space="preserve">Interstoff Apparels Limited </t>
  </si>
  <si>
    <t>SINGLE POLY PRICE IS $0.33/DZN</t>
  </si>
  <si>
    <t>RATIO POLY PRICE IS $0.42/DZN</t>
  </si>
  <si>
    <t>GUSSET POLY PRICE IS $01.46/DZN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</si>
</sst>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D050-2A47-423A-8674-08E39505CED8}">
  <dimension ref="A1:W38"/>
  <sheetViews>
    <sheetView tabSelected="1" view="pageBreakPreview" zoomScale="85" zoomScaleNormal="85" zoomScaleSheetLayoutView="85" workbookViewId="0">
      <pane ySplit="3" topLeftCell="A4" activePane="bottomLeft" state="frozen"/>
      <selection activeCell="A2" sqref="A2"/>
      <selection pane="bottomLeft" activeCell="D4" sqref="D4:D33"/>
    </sheetView>
  </sheetViews>
  <sheetFormatPr defaultRowHeight="15" x14ac:dyDescent="0.25"/>
  <cols>
    <col min="3" max="3" width="22" bestFit="1" customWidth="1"/>
    <col min="4" max="4" width="22" customWidth="1"/>
    <col min="5" max="5" width="9.42578125" customWidth="1"/>
    <col min="6" max="6" width="25.5703125" bestFit="1" customWidth="1"/>
    <col min="7" max="7" width="13.5703125" bestFit="1" customWidth="1"/>
    <col min="8" max="8" width="29.7109375" customWidth="1"/>
    <col min="9" max="9" width="22" bestFit="1" customWidth="1"/>
    <col min="19" max="19" width="12.42578125" hidden="1" customWidth="1"/>
    <col min="20" max="20" width="14.7109375" bestFit="1" customWidth="1"/>
    <col min="21" max="21" width="29" bestFit="1" customWidth="1"/>
    <col min="22" max="22" width="29.42578125" bestFit="1" customWidth="1"/>
    <col min="23" max="23" width="20.7109375" bestFit="1" customWidth="1"/>
  </cols>
  <sheetData>
    <row r="1" spans="1:23" ht="63" customHeight="1" x14ac:dyDescent="0.25">
      <c r="A1" s="1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3" spans="1:23" ht="24.75" customHeight="1" x14ac:dyDescent="0.25">
      <c r="A3" s="26" t="s">
        <v>46</v>
      </c>
      <c r="B3" s="26" t="s">
        <v>45</v>
      </c>
      <c r="C3" s="26" t="s">
        <v>44</v>
      </c>
      <c r="D3" s="31" t="s">
        <v>54</v>
      </c>
      <c r="E3" s="26" t="s">
        <v>43</v>
      </c>
      <c r="F3" s="26" t="s">
        <v>42</v>
      </c>
      <c r="G3" s="26" t="s">
        <v>41</v>
      </c>
      <c r="H3" s="26" t="s">
        <v>40</v>
      </c>
      <c r="I3" s="26" t="s">
        <v>39</v>
      </c>
      <c r="J3" s="33" t="s">
        <v>38</v>
      </c>
      <c r="K3" s="33"/>
      <c r="L3" s="33"/>
      <c r="M3" s="33"/>
      <c r="N3" s="33"/>
      <c r="O3" s="33"/>
      <c r="P3" s="33"/>
      <c r="Q3" s="33"/>
      <c r="R3" s="33"/>
      <c r="S3" s="33"/>
      <c r="T3" s="34" t="s">
        <v>37</v>
      </c>
      <c r="U3" s="12" t="s">
        <v>36</v>
      </c>
      <c r="V3" s="12" t="s">
        <v>35</v>
      </c>
      <c r="W3" s="26" t="s">
        <v>34</v>
      </c>
    </row>
    <row r="4" spans="1:23" ht="15" customHeight="1" x14ac:dyDescent="0.25">
      <c r="A4" s="28" t="s">
        <v>32</v>
      </c>
      <c r="B4" s="29">
        <v>100077</v>
      </c>
      <c r="C4" s="28" t="s">
        <v>31</v>
      </c>
      <c r="D4" s="20" t="s">
        <v>55</v>
      </c>
      <c r="E4" s="28">
        <v>147176</v>
      </c>
      <c r="F4" s="30" t="s">
        <v>47</v>
      </c>
      <c r="G4" s="30" t="s">
        <v>30</v>
      </c>
      <c r="H4" s="32" t="s">
        <v>1</v>
      </c>
      <c r="I4" s="32" t="s">
        <v>0</v>
      </c>
      <c r="J4" s="2">
        <v>0</v>
      </c>
      <c r="K4" s="2">
        <v>0</v>
      </c>
      <c r="L4" s="2">
        <v>38</v>
      </c>
      <c r="M4" s="2">
        <v>50</v>
      </c>
      <c r="N4" s="2">
        <v>17</v>
      </c>
      <c r="O4" s="2">
        <v>25</v>
      </c>
      <c r="P4" s="2">
        <v>10</v>
      </c>
      <c r="Q4" s="2">
        <v>0</v>
      </c>
      <c r="R4" s="2">
        <v>0</v>
      </c>
      <c r="S4" s="2">
        <v>1550</v>
      </c>
      <c r="T4" s="28">
        <f t="shared" ref="T4:T33" si="0">SUM(J4:R4)</f>
        <v>140</v>
      </c>
      <c r="U4" s="2">
        <f>115+65+2</f>
        <v>182</v>
      </c>
      <c r="V4" s="2">
        <f t="shared" ref="V4:V33" si="1">S4/50+1</f>
        <v>32</v>
      </c>
      <c r="W4" s="27" t="s">
        <v>33</v>
      </c>
    </row>
    <row r="5" spans="1:23" x14ac:dyDescent="0.25">
      <c r="A5" s="2" t="s">
        <v>32</v>
      </c>
      <c r="B5" s="5">
        <v>100077</v>
      </c>
      <c r="C5" s="2" t="s">
        <v>31</v>
      </c>
      <c r="D5" s="22" t="s">
        <v>55</v>
      </c>
      <c r="E5" s="2">
        <v>147177</v>
      </c>
      <c r="F5" s="8" t="s">
        <v>47</v>
      </c>
      <c r="G5" s="8" t="s">
        <v>30</v>
      </c>
      <c r="H5" s="4" t="s">
        <v>1</v>
      </c>
      <c r="I5" s="4" t="s">
        <v>0</v>
      </c>
      <c r="J5" s="2">
        <v>5</v>
      </c>
      <c r="K5" s="2">
        <v>23</v>
      </c>
      <c r="L5" s="2">
        <v>30</v>
      </c>
      <c r="M5" s="2">
        <v>59</v>
      </c>
      <c r="N5" s="2">
        <v>48</v>
      </c>
      <c r="O5" s="2">
        <v>32</v>
      </c>
      <c r="P5" s="2">
        <v>23</v>
      </c>
      <c r="Q5" s="2">
        <v>15</v>
      </c>
      <c r="R5" s="2">
        <v>15</v>
      </c>
      <c r="S5" s="2">
        <v>250</v>
      </c>
      <c r="T5" s="2">
        <f t="shared" si="0"/>
        <v>250</v>
      </c>
      <c r="U5" s="2">
        <v>0</v>
      </c>
      <c r="V5" s="2">
        <f t="shared" si="1"/>
        <v>6</v>
      </c>
      <c r="W5" s="27"/>
    </row>
    <row r="6" spans="1:23" x14ac:dyDescent="0.25">
      <c r="A6" s="2" t="s">
        <v>32</v>
      </c>
      <c r="B6" s="11">
        <v>100077</v>
      </c>
      <c r="C6" s="2" t="s">
        <v>31</v>
      </c>
      <c r="D6" s="21" t="s">
        <v>55</v>
      </c>
      <c r="E6" s="2">
        <v>147806</v>
      </c>
      <c r="F6" s="8" t="s">
        <v>47</v>
      </c>
      <c r="G6" s="11" t="s">
        <v>30</v>
      </c>
      <c r="H6" s="4" t="s">
        <v>1</v>
      </c>
      <c r="I6" s="4" t="s">
        <v>0</v>
      </c>
      <c r="J6" s="2">
        <v>5</v>
      </c>
      <c r="K6" s="2">
        <v>34</v>
      </c>
      <c r="L6" s="2">
        <v>71</v>
      </c>
      <c r="M6" s="2">
        <v>118</v>
      </c>
      <c r="N6" s="2">
        <v>129</v>
      </c>
      <c r="O6" s="2">
        <v>75</v>
      </c>
      <c r="P6" s="2">
        <v>35</v>
      </c>
      <c r="Q6" s="2">
        <v>24</v>
      </c>
      <c r="R6" s="2">
        <v>9</v>
      </c>
      <c r="S6" s="2">
        <v>500</v>
      </c>
      <c r="T6" s="2">
        <f t="shared" si="0"/>
        <v>500</v>
      </c>
      <c r="U6" s="2">
        <v>0</v>
      </c>
      <c r="V6" s="2">
        <f t="shared" si="1"/>
        <v>11</v>
      </c>
      <c r="W6" s="27"/>
    </row>
    <row r="7" spans="1:23" ht="30.75" customHeight="1" x14ac:dyDescent="0.25">
      <c r="A7" s="2" t="s">
        <v>19</v>
      </c>
      <c r="B7" s="11" t="s">
        <v>29</v>
      </c>
      <c r="C7" s="2" t="s">
        <v>28</v>
      </c>
      <c r="D7" s="1" t="s">
        <v>62</v>
      </c>
      <c r="E7" s="2">
        <v>147805</v>
      </c>
      <c r="F7" s="8" t="s">
        <v>47</v>
      </c>
      <c r="G7" s="11" t="s">
        <v>27</v>
      </c>
      <c r="H7" s="4" t="s">
        <v>1</v>
      </c>
      <c r="I7" s="4" t="s">
        <v>0</v>
      </c>
      <c r="J7" s="2">
        <v>2</v>
      </c>
      <c r="K7" s="2">
        <v>33</v>
      </c>
      <c r="L7" s="2">
        <v>70</v>
      </c>
      <c r="M7" s="2">
        <v>116</v>
      </c>
      <c r="N7" s="2">
        <v>137</v>
      </c>
      <c r="O7" s="2">
        <v>74</v>
      </c>
      <c r="P7" s="2">
        <v>34</v>
      </c>
      <c r="Q7" s="2">
        <v>24</v>
      </c>
      <c r="R7" s="2">
        <v>10</v>
      </c>
      <c r="S7" s="2">
        <v>500</v>
      </c>
      <c r="T7" s="2">
        <f t="shared" si="0"/>
        <v>500</v>
      </c>
      <c r="U7" s="2">
        <v>0</v>
      </c>
      <c r="V7" s="2">
        <f t="shared" si="1"/>
        <v>11</v>
      </c>
      <c r="W7" s="27"/>
    </row>
    <row r="8" spans="1:23" x14ac:dyDescent="0.25">
      <c r="A8" s="2" t="s">
        <v>19</v>
      </c>
      <c r="B8" s="11" t="s">
        <v>16</v>
      </c>
      <c r="C8" s="2" t="s">
        <v>26</v>
      </c>
      <c r="D8" s="20" t="s">
        <v>56</v>
      </c>
      <c r="E8" s="2">
        <v>147253</v>
      </c>
      <c r="F8" s="8" t="s">
        <v>48</v>
      </c>
      <c r="G8" s="8" t="s">
        <v>22</v>
      </c>
      <c r="H8" s="4" t="s">
        <v>1</v>
      </c>
      <c r="I8" s="4" t="s">
        <v>0</v>
      </c>
      <c r="J8" s="2">
        <v>0</v>
      </c>
      <c r="K8" s="2">
        <v>26</v>
      </c>
      <c r="L8" s="2">
        <v>95</v>
      </c>
      <c r="M8" s="2">
        <v>141</v>
      </c>
      <c r="N8" s="2">
        <v>7</v>
      </c>
      <c r="O8" s="2">
        <v>72</v>
      </c>
      <c r="P8" s="2">
        <v>26</v>
      </c>
      <c r="Q8" s="2">
        <v>3</v>
      </c>
      <c r="R8" s="2">
        <v>0</v>
      </c>
      <c r="S8" s="2">
        <v>2400</v>
      </c>
      <c r="T8" s="2">
        <f t="shared" si="0"/>
        <v>370</v>
      </c>
      <c r="U8" s="2">
        <f>165+95+2</f>
        <v>262</v>
      </c>
      <c r="V8" s="2">
        <f t="shared" si="1"/>
        <v>49</v>
      </c>
      <c r="W8" s="27"/>
    </row>
    <row r="9" spans="1:23" x14ac:dyDescent="0.25">
      <c r="A9" s="2" t="s">
        <v>19</v>
      </c>
      <c r="B9" s="11" t="s">
        <v>16</v>
      </c>
      <c r="C9" s="2" t="s">
        <v>26</v>
      </c>
      <c r="D9" s="21" t="s">
        <v>56</v>
      </c>
      <c r="E9" s="2">
        <v>147254</v>
      </c>
      <c r="F9" s="8" t="s">
        <v>48</v>
      </c>
      <c r="G9" s="8" t="s">
        <v>22</v>
      </c>
      <c r="H9" s="4" t="s">
        <v>1</v>
      </c>
      <c r="I9" s="4" t="s">
        <v>0</v>
      </c>
      <c r="J9" s="2">
        <v>8</v>
      </c>
      <c r="K9" s="2">
        <v>20</v>
      </c>
      <c r="L9" s="2">
        <v>32</v>
      </c>
      <c r="M9" s="2">
        <v>80</v>
      </c>
      <c r="N9" s="2">
        <v>76</v>
      </c>
      <c r="O9" s="2">
        <v>64</v>
      </c>
      <c r="P9" s="2">
        <v>64</v>
      </c>
      <c r="Q9" s="2">
        <v>36</v>
      </c>
      <c r="R9" s="2">
        <v>20</v>
      </c>
      <c r="S9" s="2">
        <v>400</v>
      </c>
      <c r="T9" s="2">
        <f t="shared" si="0"/>
        <v>400</v>
      </c>
      <c r="U9" s="2">
        <v>0</v>
      </c>
      <c r="V9" s="2">
        <f t="shared" si="1"/>
        <v>9</v>
      </c>
      <c r="W9" s="27"/>
    </row>
    <row r="10" spans="1:23" x14ac:dyDescent="0.25">
      <c r="A10" s="2" t="s">
        <v>19</v>
      </c>
      <c r="B10" s="5" t="s">
        <v>25</v>
      </c>
      <c r="C10" s="2" t="s">
        <v>24</v>
      </c>
      <c r="D10" s="20" t="s">
        <v>56</v>
      </c>
      <c r="E10" s="2">
        <v>147255</v>
      </c>
      <c r="F10" s="8" t="s">
        <v>48</v>
      </c>
      <c r="G10" s="8" t="s">
        <v>17</v>
      </c>
      <c r="H10" s="4" t="s">
        <v>1</v>
      </c>
      <c r="I10" s="4" t="s">
        <v>0</v>
      </c>
      <c r="J10" s="2">
        <v>0</v>
      </c>
      <c r="K10" s="2">
        <v>10</v>
      </c>
      <c r="L10" s="2">
        <v>56</v>
      </c>
      <c r="M10" s="2">
        <v>83</v>
      </c>
      <c r="N10" s="2">
        <v>0</v>
      </c>
      <c r="O10" s="2">
        <v>43</v>
      </c>
      <c r="P10" s="2">
        <v>8</v>
      </c>
      <c r="Q10" s="2">
        <v>0</v>
      </c>
      <c r="R10" s="2">
        <v>0</v>
      </c>
      <c r="S10" s="2">
        <v>2100</v>
      </c>
      <c r="T10" s="2">
        <f t="shared" si="0"/>
        <v>200</v>
      </c>
      <c r="U10" s="2">
        <f>158+80+2</f>
        <v>240</v>
      </c>
      <c r="V10" s="2">
        <f t="shared" si="1"/>
        <v>43</v>
      </c>
      <c r="W10" s="27"/>
    </row>
    <row r="11" spans="1:23" x14ac:dyDescent="0.25">
      <c r="A11" s="2" t="s">
        <v>19</v>
      </c>
      <c r="B11" s="5" t="s">
        <v>25</v>
      </c>
      <c r="C11" s="2" t="s">
        <v>24</v>
      </c>
      <c r="D11" s="22" t="s">
        <v>56</v>
      </c>
      <c r="E11" s="2">
        <v>147256</v>
      </c>
      <c r="F11" s="8" t="s">
        <v>48</v>
      </c>
      <c r="G11" s="8" t="s">
        <v>17</v>
      </c>
      <c r="H11" s="4" t="s">
        <v>1</v>
      </c>
      <c r="I11" s="4" t="s">
        <v>0</v>
      </c>
      <c r="J11" s="2">
        <v>8</v>
      </c>
      <c r="K11" s="2">
        <v>20</v>
      </c>
      <c r="L11" s="2">
        <v>32</v>
      </c>
      <c r="M11" s="2">
        <v>80</v>
      </c>
      <c r="N11" s="2">
        <v>76</v>
      </c>
      <c r="O11" s="2">
        <v>64</v>
      </c>
      <c r="P11" s="2">
        <v>64</v>
      </c>
      <c r="Q11" s="2">
        <v>36</v>
      </c>
      <c r="R11" s="2">
        <v>20</v>
      </c>
      <c r="S11" s="2">
        <v>400</v>
      </c>
      <c r="T11" s="2">
        <f t="shared" si="0"/>
        <v>400</v>
      </c>
      <c r="U11" s="2">
        <v>0</v>
      </c>
      <c r="V11" s="2">
        <f t="shared" si="1"/>
        <v>9</v>
      </c>
      <c r="W11" s="27"/>
    </row>
    <row r="12" spans="1:23" x14ac:dyDescent="0.25">
      <c r="A12" s="2" t="s">
        <v>19</v>
      </c>
      <c r="B12" s="5" t="s">
        <v>25</v>
      </c>
      <c r="C12" s="2" t="s">
        <v>24</v>
      </c>
      <c r="D12" s="22" t="s">
        <v>56</v>
      </c>
      <c r="E12" s="2">
        <v>147255</v>
      </c>
      <c r="F12" s="8" t="s">
        <v>48</v>
      </c>
      <c r="G12" s="8" t="s">
        <v>20</v>
      </c>
      <c r="H12" s="4" t="s">
        <v>1</v>
      </c>
      <c r="I12" s="4" t="s">
        <v>0</v>
      </c>
      <c r="J12" s="2">
        <v>0</v>
      </c>
      <c r="K12" s="2">
        <v>10</v>
      </c>
      <c r="L12" s="2">
        <v>56</v>
      </c>
      <c r="M12" s="2">
        <v>83</v>
      </c>
      <c r="N12" s="2">
        <v>0</v>
      </c>
      <c r="O12" s="2">
        <v>43</v>
      </c>
      <c r="P12" s="2">
        <v>8</v>
      </c>
      <c r="Q12" s="2">
        <v>0</v>
      </c>
      <c r="R12" s="2">
        <v>0</v>
      </c>
      <c r="S12" s="2">
        <v>2100</v>
      </c>
      <c r="T12" s="2">
        <f t="shared" si="0"/>
        <v>200</v>
      </c>
      <c r="U12" s="2">
        <f>158+80+2</f>
        <v>240</v>
      </c>
      <c r="V12" s="2">
        <f t="shared" si="1"/>
        <v>43</v>
      </c>
      <c r="W12" s="27"/>
    </row>
    <row r="13" spans="1:23" x14ac:dyDescent="0.25">
      <c r="A13" s="2" t="s">
        <v>19</v>
      </c>
      <c r="B13" s="5" t="s">
        <v>25</v>
      </c>
      <c r="C13" s="2" t="s">
        <v>24</v>
      </c>
      <c r="D13" s="21" t="s">
        <v>56</v>
      </c>
      <c r="E13" s="2">
        <v>147256</v>
      </c>
      <c r="F13" s="8" t="s">
        <v>48</v>
      </c>
      <c r="G13" s="8" t="s">
        <v>20</v>
      </c>
      <c r="H13" s="4" t="s">
        <v>1</v>
      </c>
      <c r="I13" s="4" t="s">
        <v>0</v>
      </c>
      <c r="J13" s="2">
        <v>8</v>
      </c>
      <c r="K13" s="2">
        <v>20</v>
      </c>
      <c r="L13" s="2">
        <v>32</v>
      </c>
      <c r="M13" s="2">
        <v>80</v>
      </c>
      <c r="N13" s="2">
        <v>76</v>
      </c>
      <c r="O13" s="2">
        <v>64</v>
      </c>
      <c r="P13" s="2">
        <v>64</v>
      </c>
      <c r="Q13" s="2">
        <v>36</v>
      </c>
      <c r="R13" s="2">
        <v>20</v>
      </c>
      <c r="S13" s="2">
        <v>400</v>
      </c>
      <c r="T13" s="2">
        <f t="shared" si="0"/>
        <v>400</v>
      </c>
      <c r="U13" s="2">
        <v>0</v>
      </c>
      <c r="V13" s="2">
        <f t="shared" si="1"/>
        <v>9</v>
      </c>
      <c r="W13" s="27"/>
    </row>
    <row r="14" spans="1:23" x14ac:dyDescent="0.25">
      <c r="A14" s="2" t="s">
        <v>19</v>
      </c>
      <c r="B14" s="11" t="s">
        <v>9</v>
      </c>
      <c r="C14" s="2" t="s">
        <v>23</v>
      </c>
      <c r="D14" s="20" t="s">
        <v>57</v>
      </c>
      <c r="E14" s="2">
        <v>147257</v>
      </c>
      <c r="F14" s="8" t="s">
        <v>49</v>
      </c>
      <c r="G14" s="8" t="s">
        <v>22</v>
      </c>
      <c r="H14" s="4" t="s">
        <v>1</v>
      </c>
      <c r="I14" s="4" t="s">
        <v>0</v>
      </c>
      <c r="J14" s="2">
        <v>0</v>
      </c>
      <c r="K14" s="2">
        <v>0</v>
      </c>
      <c r="L14" s="2">
        <v>62</v>
      </c>
      <c r="M14" s="2">
        <v>87</v>
      </c>
      <c r="N14" s="2">
        <v>31</v>
      </c>
      <c r="O14" s="2">
        <v>34</v>
      </c>
      <c r="P14" s="2">
        <v>10</v>
      </c>
      <c r="Q14" s="2">
        <v>0</v>
      </c>
      <c r="R14" s="2">
        <v>0</v>
      </c>
      <c r="S14" s="2">
        <v>2200</v>
      </c>
      <c r="T14" s="2">
        <f t="shared" si="0"/>
        <v>224</v>
      </c>
      <c r="U14" s="2">
        <f>160+94+2</f>
        <v>256</v>
      </c>
      <c r="V14" s="2">
        <f t="shared" si="1"/>
        <v>45</v>
      </c>
      <c r="W14" s="27"/>
    </row>
    <row r="15" spans="1:23" x14ac:dyDescent="0.25">
      <c r="A15" s="2" t="s">
        <v>19</v>
      </c>
      <c r="B15" s="11" t="s">
        <v>9</v>
      </c>
      <c r="C15" s="2" t="s">
        <v>23</v>
      </c>
      <c r="D15" s="21" t="s">
        <v>57</v>
      </c>
      <c r="E15" s="2">
        <v>147258</v>
      </c>
      <c r="F15" s="8" t="s">
        <v>49</v>
      </c>
      <c r="G15" s="8" t="s">
        <v>22</v>
      </c>
      <c r="H15" s="4" t="s">
        <v>1</v>
      </c>
      <c r="I15" s="4" t="s">
        <v>0</v>
      </c>
      <c r="J15" s="2">
        <v>8</v>
      </c>
      <c r="K15" s="2">
        <v>20</v>
      </c>
      <c r="L15" s="2">
        <v>48</v>
      </c>
      <c r="M15" s="2">
        <v>76</v>
      </c>
      <c r="N15" s="2">
        <v>92</v>
      </c>
      <c r="O15" s="2">
        <v>56</v>
      </c>
      <c r="P15" s="2">
        <v>52</v>
      </c>
      <c r="Q15" s="2">
        <v>32</v>
      </c>
      <c r="R15" s="2">
        <v>16</v>
      </c>
      <c r="S15" s="2">
        <v>400</v>
      </c>
      <c r="T15" s="2">
        <f t="shared" si="0"/>
        <v>400</v>
      </c>
      <c r="U15" s="2">
        <v>0</v>
      </c>
      <c r="V15" s="2">
        <f t="shared" si="1"/>
        <v>9</v>
      </c>
      <c r="W15" s="27"/>
    </row>
    <row r="16" spans="1:23" x14ac:dyDescent="0.25">
      <c r="A16" s="2" t="s">
        <v>19</v>
      </c>
      <c r="B16" s="5">
        <v>100394</v>
      </c>
      <c r="C16" s="2" t="s">
        <v>21</v>
      </c>
      <c r="D16" s="20" t="s">
        <v>57</v>
      </c>
      <c r="E16" s="2">
        <v>147801</v>
      </c>
      <c r="F16" s="8" t="s">
        <v>50</v>
      </c>
      <c r="G16" s="8" t="s">
        <v>20</v>
      </c>
      <c r="H16" s="4" t="s">
        <v>1</v>
      </c>
      <c r="I16" s="4" t="s">
        <v>0</v>
      </c>
      <c r="J16" s="2">
        <v>0</v>
      </c>
      <c r="K16" s="2">
        <v>34</v>
      </c>
      <c r="L16" s="2">
        <v>31</v>
      </c>
      <c r="M16" s="2">
        <v>103</v>
      </c>
      <c r="N16" s="2">
        <v>0</v>
      </c>
      <c r="O16" s="2">
        <v>56</v>
      </c>
      <c r="P16" s="2">
        <v>0</v>
      </c>
      <c r="Q16" s="2">
        <v>0</v>
      </c>
      <c r="R16" s="2">
        <v>0</v>
      </c>
      <c r="S16" s="2">
        <v>2200</v>
      </c>
      <c r="T16" s="2">
        <f t="shared" si="0"/>
        <v>224</v>
      </c>
      <c r="U16" s="2">
        <f>160+94+2</f>
        <v>256</v>
      </c>
      <c r="V16" s="2">
        <f t="shared" si="1"/>
        <v>45</v>
      </c>
      <c r="W16" s="27"/>
    </row>
    <row r="17" spans="1:23" x14ac:dyDescent="0.25">
      <c r="A17" s="2" t="s">
        <v>19</v>
      </c>
      <c r="B17" s="5">
        <v>100394</v>
      </c>
      <c r="C17" s="2" t="s">
        <v>21</v>
      </c>
      <c r="D17" s="21" t="s">
        <v>57</v>
      </c>
      <c r="E17" s="2">
        <v>147802</v>
      </c>
      <c r="F17" s="8" t="s">
        <v>50</v>
      </c>
      <c r="G17" s="8" t="s">
        <v>20</v>
      </c>
      <c r="H17" s="4" t="s">
        <v>1</v>
      </c>
      <c r="I17" s="4" t="s">
        <v>0</v>
      </c>
      <c r="J17" s="2">
        <v>12</v>
      </c>
      <c r="K17" s="2">
        <v>24</v>
      </c>
      <c r="L17" s="2">
        <v>40</v>
      </c>
      <c r="M17" s="2">
        <v>80</v>
      </c>
      <c r="N17" s="2">
        <v>72</v>
      </c>
      <c r="O17" s="2">
        <v>64</v>
      </c>
      <c r="P17" s="2">
        <v>56</v>
      </c>
      <c r="Q17" s="2">
        <v>36</v>
      </c>
      <c r="R17" s="2">
        <v>16</v>
      </c>
      <c r="S17" s="2">
        <v>400</v>
      </c>
      <c r="T17" s="2">
        <f t="shared" si="0"/>
        <v>400</v>
      </c>
      <c r="U17" s="2">
        <v>0</v>
      </c>
      <c r="V17" s="2">
        <f t="shared" si="1"/>
        <v>9</v>
      </c>
      <c r="W17" s="27"/>
    </row>
    <row r="18" spans="1:23" x14ac:dyDescent="0.25">
      <c r="A18" s="2" t="s">
        <v>19</v>
      </c>
      <c r="B18" s="5">
        <v>100143</v>
      </c>
      <c r="C18" s="2" t="s">
        <v>18</v>
      </c>
      <c r="D18" s="20" t="s">
        <v>58</v>
      </c>
      <c r="E18" s="2">
        <v>147262</v>
      </c>
      <c r="F18" s="8" t="s">
        <v>51</v>
      </c>
      <c r="G18" s="8" t="s">
        <v>10</v>
      </c>
      <c r="H18" s="4" t="s">
        <v>1</v>
      </c>
      <c r="I18" s="4" t="s">
        <v>0</v>
      </c>
      <c r="J18" s="2">
        <v>0</v>
      </c>
      <c r="K18" s="2">
        <v>0</v>
      </c>
      <c r="L18" s="2">
        <v>45</v>
      </c>
      <c r="M18" s="2">
        <v>53</v>
      </c>
      <c r="N18" s="2">
        <v>24</v>
      </c>
      <c r="O18" s="2">
        <v>31</v>
      </c>
      <c r="P18" s="2">
        <v>21</v>
      </c>
      <c r="Q18" s="2">
        <v>0</v>
      </c>
      <c r="R18" s="2">
        <v>0</v>
      </c>
      <c r="S18" s="2">
        <v>2200</v>
      </c>
      <c r="T18" s="2">
        <f t="shared" si="0"/>
        <v>174</v>
      </c>
      <c r="U18" s="2">
        <f>165+94+2</f>
        <v>261</v>
      </c>
      <c r="V18" s="2">
        <f t="shared" si="1"/>
        <v>45</v>
      </c>
      <c r="W18" s="27"/>
    </row>
    <row r="19" spans="1:23" x14ac:dyDescent="0.25">
      <c r="A19" s="2" t="s">
        <v>19</v>
      </c>
      <c r="B19" s="5">
        <v>100143</v>
      </c>
      <c r="C19" s="2" t="s">
        <v>18</v>
      </c>
      <c r="D19" s="21" t="s">
        <v>58</v>
      </c>
      <c r="E19" s="2">
        <v>147263</v>
      </c>
      <c r="F19" s="8" t="s">
        <v>51</v>
      </c>
      <c r="G19" s="8" t="s">
        <v>10</v>
      </c>
      <c r="H19" s="4" t="s">
        <v>1</v>
      </c>
      <c r="I19" s="4" t="s">
        <v>0</v>
      </c>
      <c r="J19" s="2">
        <v>9</v>
      </c>
      <c r="K19" s="2">
        <v>21</v>
      </c>
      <c r="L19" s="2">
        <v>39</v>
      </c>
      <c r="M19" s="2">
        <v>60</v>
      </c>
      <c r="N19" s="2">
        <v>78</v>
      </c>
      <c r="O19" s="2">
        <v>45</v>
      </c>
      <c r="P19" s="2">
        <v>9</v>
      </c>
      <c r="Q19" s="2">
        <v>24</v>
      </c>
      <c r="R19" s="2">
        <v>15</v>
      </c>
      <c r="S19" s="2">
        <v>300</v>
      </c>
      <c r="T19" s="2">
        <f t="shared" si="0"/>
        <v>300</v>
      </c>
      <c r="U19" s="2">
        <v>0</v>
      </c>
      <c r="V19" s="2">
        <f t="shared" si="1"/>
        <v>7</v>
      </c>
      <c r="W19" s="27"/>
    </row>
    <row r="20" spans="1:23" s="10" customFormat="1" x14ac:dyDescent="0.25">
      <c r="A20" s="2" t="s">
        <v>5</v>
      </c>
      <c r="B20" s="5" t="s">
        <v>16</v>
      </c>
      <c r="C20" s="2" t="s">
        <v>15</v>
      </c>
      <c r="D20" s="20" t="s">
        <v>58</v>
      </c>
      <c r="E20" s="2">
        <v>147839</v>
      </c>
      <c r="F20" s="8" t="s">
        <v>48</v>
      </c>
      <c r="G20" s="3" t="s">
        <v>11</v>
      </c>
      <c r="H20" s="4" t="s">
        <v>1</v>
      </c>
      <c r="I20" s="4" t="s">
        <v>0</v>
      </c>
      <c r="J20" s="2">
        <v>10</v>
      </c>
      <c r="K20" s="2">
        <v>19</v>
      </c>
      <c r="L20" s="6">
        <v>111</v>
      </c>
      <c r="M20" s="2">
        <v>220</v>
      </c>
      <c r="N20" s="2">
        <v>202</v>
      </c>
      <c r="O20" s="2">
        <v>209</v>
      </c>
      <c r="P20" s="2">
        <v>129</v>
      </c>
      <c r="Q20" s="2">
        <v>52</v>
      </c>
      <c r="R20" s="2">
        <v>48</v>
      </c>
      <c r="S20" s="2">
        <v>1000</v>
      </c>
      <c r="T20" s="2">
        <f t="shared" si="0"/>
        <v>1000</v>
      </c>
      <c r="U20" s="2">
        <v>0</v>
      </c>
      <c r="V20" s="2">
        <f t="shared" si="1"/>
        <v>21</v>
      </c>
      <c r="W20" s="27"/>
    </row>
    <row r="21" spans="1:23" s="10" customFormat="1" x14ac:dyDescent="0.25">
      <c r="A21" s="2" t="s">
        <v>5</v>
      </c>
      <c r="B21" s="5" t="s">
        <v>16</v>
      </c>
      <c r="C21" s="2" t="s">
        <v>15</v>
      </c>
      <c r="D21" s="22" t="s">
        <v>58</v>
      </c>
      <c r="E21" s="2">
        <v>147838</v>
      </c>
      <c r="F21" s="8" t="s">
        <v>48</v>
      </c>
      <c r="G21" s="3" t="s">
        <v>6</v>
      </c>
      <c r="H21" s="4" t="s">
        <v>1</v>
      </c>
      <c r="I21" s="4" t="s">
        <v>0</v>
      </c>
      <c r="J21" s="2">
        <v>53</v>
      </c>
      <c r="K21" s="2">
        <v>49</v>
      </c>
      <c r="L21" s="6">
        <v>192</v>
      </c>
      <c r="M21" s="2">
        <v>330</v>
      </c>
      <c r="N21" s="2">
        <v>215</v>
      </c>
      <c r="O21" s="2">
        <v>172</v>
      </c>
      <c r="P21" s="2">
        <v>95</v>
      </c>
      <c r="Q21" s="2">
        <v>65</v>
      </c>
      <c r="R21" s="2">
        <v>29</v>
      </c>
      <c r="S21" s="2">
        <v>1200</v>
      </c>
      <c r="T21" s="2">
        <f t="shared" si="0"/>
        <v>1200</v>
      </c>
      <c r="U21" s="2">
        <v>0</v>
      </c>
      <c r="V21" s="2">
        <f t="shared" si="1"/>
        <v>25</v>
      </c>
      <c r="W21" s="27"/>
    </row>
    <row r="22" spans="1:23" x14ac:dyDescent="0.25">
      <c r="A22" s="2" t="s">
        <v>5</v>
      </c>
      <c r="B22" s="5" t="s">
        <v>16</v>
      </c>
      <c r="C22" s="2" t="s">
        <v>15</v>
      </c>
      <c r="D22" s="22" t="s">
        <v>58</v>
      </c>
      <c r="E22" s="2">
        <v>147840</v>
      </c>
      <c r="F22" s="8" t="s">
        <v>48</v>
      </c>
      <c r="G22" s="3" t="s">
        <v>17</v>
      </c>
      <c r="H22" s="4" t="s">
        <v>1</v>
      </c>
      <c r="I22" s="4" t="s">
        <v>0</v>
      </c>
      <c r="J22" s="2">
        <v>0</v>
      </c>
      <c r="K22" s="2">
        <v>24</v>
      </c>
      <c r="L22" s="3">
        <v>62</v>
      </c>
      <c r="M22" s="2">
        <v>144</v>
      </c>
      <c r="N22" s="2">
        <v>183</v>
      </c>
      <c r="O22" s="2">
        <v>186</v>
      </c>
      <c r="P22" s="2">
        <v>101</v>
      </c>
      <c r="Q22" s="2">
        <v>75</v>
      </c>
      <c r="R22" s="2">
        <v>25</v>
      </c>
      <c r="S22" s="2">
        <v>800</v>
      </c>
      <c r="T22" s="2">
        <f t="shared" si="0"/>
        <v>800</v>
      </c>
      <c r="U22" s="2">
        <v>0</v>
      </c>
      <c r="V22" s="2">
        <f t="shared" si="1"/>
        <v>17</v>
      </c>
      <c r="W22" s="27"/>
    </row>
    <row r="23" spans="1:23" x14ac:dyDescent="0.25">
      <c r="A23" s="2" t="s">
        <v>5</v>
      </c>
      <c r="B23" s="5" t="s">
        <v>16</v>
      </c>
      <c r="C23" s="2" t="s">
        <v>15</v>
      </c>
      <c r="D23" s="22" t="s">
        <v>58</v>
      </c>
      <c r="E23" s="2">
        <v>147813</v>
      </c>
      <c r="F23" s="8" t="s">
        <v>48</v>
      </c>
      <c r="G23" s="3" t="s">
        <v>14</v>
      </c>
      <c r="H23" s="4" t="s">
        <v>1</v>
      </c>
      <c r="I23" s="4" t="s">
        <v>0</v>
      </c>
      <c r="J23" s="2">
        <v>0</v>
      </c>
      <c r="K23" s="2">
        <v>27</v>
      </c>
      <c r="L23" s="9">
        <v>51</v>
      </c>
      <c r="M23" s="2">
        <v>46</v>
      </c>
      <c r="N23" s="2">
        <v>0</v>
      </c>
      <c r="O23" s="2">
        <v>20</v>
      </c>
      <c r="P23" s="2">
        <v>0</v>
      </c>
      <c r="Q23" s="2">
        <v>0</v>
      </c>
      <c r="R23" s="2">
        <v>0</v>
      </c>
      <c r="S23" s="2">
        <v>2148</v>
      </c>
      <c r="T23" s="2">
        <f t="shared" si="0"/>
        <v>144</v>
      </c>
      <c r="U23" s="2">
        <f>148+94+2</f>
        <v>244</v>
      </c>
      <c r="V23" s="7">
        <f t="shared" si="1"/>
        <v>43.96</v>
      </c>
      <c r="W23" s="27"/>
    </row>
    <row r="24" spans="1:23" x14ac:dyDescent="0.25">
      <c r="A24" s="2" t="s">
        <v>5</v>
      </c>
      <c r="B24" s="5" t="s">
        <v>16</v>
      </c>
      <c r="C24" s="2" t="s">
        <v>15</v>
      </c>
      <c r="D24" s="21" t="s">
        <v>58</v>
      </c>
      <c r="E24" s="2">
        <v>147814</v>
      </c>
      <c r="F24" s="8" t="s">
        <v>48</v>
      </c>
      <c r="G24" s="3" t="s">
        <v>14</v>
      </c>
      <c r="H24" s="4" t="s">
        <v>1</v>
      </c>
      <c r="I24" s="4" t="s">
        <v>0</v>
      </c>
      <c r="J24" s="2">
        <v>12</v>
      </c>
      <c r="K24" s="2">
        <v>15</v>
      </c>
      <c r="L24" s="9">
        <v>33</v>
      </c>
      <c r="M24" s="2">
        <v>54</v>
      </c>
      <c r="N24" s="2">
        <v>60</v>
      </c>
      <c r="O24" s="2">
        <v>51</v>
      </c>
      <c r="P24" s="2">
        <v>39</v>
      </c>
      <c r="Q24" s="2">
        <v>21</v>
      </c>
      <c r="R24" s="2">
        <v>15</v>
      </c>
      <c r="S24" s="2">
        <v>300</v>
      </c>
      <c r="T24" s="2">
        <f t="shared" si="0"/>
        <v>300</v>
      </c>
      <c r="U24" s="2">
        <v>0</v>
      </c>
      <c r="V24" s="2">
        <f t="shared" si="1"/>
        <v>7</v>
      </c>
      <c r="W24" s="27"/>
    </row>
    <row r="25" spans="1:23" x14ac:dyDescent="0.25">
      <c r="A25" s="2" t="s">
        <v>5</v>
      </c>
      <c r="B25" s="5" t="s">
        <v>13</v>
      </c>
      <c r="C25" s="2" t="s">
        <v>12</v>
      </c>
      <c r="D25" s="20" t="s">
        <v>59</v>
      </c>
      <c r="E25" s="2">
        <v>147823</v>
      </c>
      <c r="F25" s="8" t="s">
        <v>52</v>
      </c>
      <c r="G25" s="3" t="s">
        <v>6</v>
      </c>
      <c r="H25" s="4" t="s">
        <v>1</v>
      </c>
      <c r="I25" s="4" t="s">
        <v>0</v>
      </c>
      <c r="J25" s="2">
        <v>124</v>
      </c>
      <c r="K25" s="2">
        <v>70</v>
      </c>
      <c r="L25" s="6">
        <v>362</v>
      </c>
      <c r="M25" s="2">
        <v>474</v>
      </c>
      <c r="N25" s="2">
        <v>280</v>
      </c>
      <c r="O25" s="2">
        <v>172</v>
      </c>
      <c r="P25" s="2">
        <v>143</v>
      </c>
      <c r="Q25" s="2">
        <v>138</v>
      </c>
      <c r="R25" s="2">
        <v>37</v>
      </c>
      <c r="S25" s="2">
        <v>1800</v>
      </c>
      <c r="T25" s="2">
        <f t="shared" si="0"/>
        <v>1800</v>
      </c>
      <c r="U25" s="2">
        <v>0</v>
      </c>
      <c r="V25" s="2">
        <f t="shared" si="1"/>
        <v>37</v>
      </c>
      <c r="W25" s="27"/>
    </row>
    <row r="26" spans="1:23" x14ac:dyDescent="0.25">
      <c r="A26" s="2" t="s">
        <v>5</v>
      </c>
      <c r="B26" s="5" t="s">
        <v>13</v>
      </c>
      <c r="C26" s="2" t="s">
        <v>12</v>
      </c>
      <c r="D26" s="21" t="s">
        <v>59</v>
      </c>
      <c r="E26" s="2">
        <v>147824</v>
      </c>
      <c r="F26" s="8" t="s">
        <v>52</v>
      </c>
      <c r="G26" s="3" t="s">
        <v>10</v>
      </c>
      <c r="H26" s="4" t="s">
        <v>1</v>
      </c>
      <c r="I26" s="4" t="s">
        <v>0</v>
      </c>
      <c r="J26" s="2">
        <v>63</v>
      </c>
      <c r="K26" s="2">
        <v>90</v>
      </c>
      <c r="L26" s="3">
        <v>105</v>
      </c>
      <c r="M26" s="2">
        <v>190</v>
      </c>
      <c r="N26" s="2">
        <v>130</v>
      </c>
      <c r="O26" s="2">
        <v>85</v>
      </c>
      <c r="P26" s="2">
        <v>75</v>
      </c>
      <c r="Q26" s="2">
        <v>62</v>
      </c>
      <c r="R26" s="2"/>
      <c r="S26" s="2">
        <v>800</v>
      </c>
      <c r="T26" s="2">
        <f t="shared" si="0"/>
        <v>800</v>
      </c>
      <c r="U26" s="2">
        <v>0</v>
      </c>
      <c r="V26" s="2">
        <f t="shared" si="1"/>
        <v>17</v>
      </c>
      <c r="W26" s="27"/>
    </row>
    <row r="27" spans="1:23" ht="15" customHeight="1" x14ac:dyDescent="0.25">
      <c r="A27" s="2" t="s">
        <v>5</v>
      </c>
      <c r="B27" s="5" t="s">
        <v>9</v>
      </c>
      <c r="C27" s="2" t="s">
        <v>8</v>
      </c>
      <c r="D27" s="23" t="s">
        <v>60</v>
      </c>
      <c r="E27" s="2">
        <v>147836</v>
      </c>
      <c r="F27" s="8" t="s">
        <v>49</v>
      </c>
      <c r="G27" s="3" t="s">
        <v>11</v>
      </c>
      <c r="H27" s="4" t="s">
        <v>1</v>
      </c>
      <c r="I27" s="4" t="s">
        <v>0</v>
      </c>
      <c r="J27" s="2">
        <v>8</v>
      </c>
      <c r="K27" s="2">
        <v>45</v>
      </c>
      <c r="L27" s="3">
        <v>75</v>
      </c>
      <c r="M27" s="2">
        <v>125</v>
      </c>
      <c r="N27" s="2">
        <v>83</v>
      </c>
      <c r="O27" s="2">
        <v>66</v>
      </c>
      <c r="P27" s="2">
        <v>56</v>
      </c>
      <c r="Q27" s="2">
        <v>34</v>
      </c>
      <c r="R27" s="2">
        <v>8</v>
      </c>
      <c r="S27" s="2">
        <v>500</v>
      </c>
      <c r="T27" s="2">
        <f t="shared" si="0"/>
        <v>500</v>
      </c>
      <c r="U27" s="2">
        <v>0</v>
      </c>
      <c r="V27" s="2">
        <f t="shared" si="1"/>
        <v>11</v>
      </c>
      <c r="W27" s="27"/>
    </row>
    <row r="28" spans="1:23" ht="30" x14ac:dyDescent="0.25">
      <c r="A28" s="2" t="s">
        <v>5</v>
      </c>
      <c r="B28" s="5" t="s">
        <v>9</v>
      </c>
      <c r="C28" s="2" t="s">
        <v>8</v>
      </c>
      <c r="D28" s="24" t="s">
        <v>60</v>
      </c>
      <c r="E28" s="2">
        <v>147835</v>
      </c>
      <c r="F28" s="8" t="s">
        <v>49</v>
      </c>
      <c r="G28" s="3" t="s">
        <v>6</v>
      </c>
      <c r="H28" s="4" t="s">
        <v>1</v>
      </c>
      <c r="I28" s="4" t="s">
        <v>0</v>
      </c>
      <c r="J28" s="2">
        <v>42</v>
      </c>
      <c r="K28" s="2">
        <v>108</v>
      </c>
      <c r="L28" s="6">
        <v>143</v>
      </c>
      <c r="M28" s="2">
        <v>243</v>
      </c>
      <c r="N28" s="2">
        <v>207</v>
      </c>
      <c r="O28" s="2">
        <v>111</v>
      </c>
      <c r="P28" s="2">
        <v>95</v>
      </c>
      <c r="Q28" s="2">
        <v>45</v>
      </c>
      <c r="R28" s="2">
        <v>6</v>
      </c>
      <c r="S28" s="2">
        <v>1000</v>
      </c>
      <c r="T28" s="2">
        <f t="shared" si="0"/>
        <v>1000</v>
      </c>
      <c r="U28" s="2">
        <v>0</v>
      </c>
      <c r="V28" s="2">
        <f t="shared" si="1"/>
        <v>21</v>
      </c>
      <c r="W28" s="27"/>
    </row>
    <row r="29" spans="1:23" ht="30" x14ac:dyDescent="0.25">
      <c r="A29" s="2" t="s">
        <v>5</v>
      </c>
      <c r="B29" s="5" t="s">
        <v>9</v>
      </c>
      <c r="C29" s="2" t="s">
        <v>8</v>
      </c>
      <c r="D29" s="24" t="s">
        <v>60</v>
      </c>
      <c r="E29" s="2">
        <v>147837</v>
      </c>
      <c r="F29" s="8" t="s">
        <v>49</v>
      </c>
      <c r="G29" s="3" t="s">
        <v>10</v>
      </c>
      <c r="H29" s="4" t="s">
        <v>1</v>
      </c>
      <c r="I29" s="4" t="s">
        <v>0</v>
      </c>
      <c r="J29" s="2">
        <v>19</v>
      </c>
      <c r="K29" s="2">
        <v>43</v>
      </c>
      <c r="L29" s="3">
        <v>122</v>
      </c>
      <c r="M29" s="2">
        <v>220</v>
      </c>
      <c r="N29" s="2">
        <v>136</v>
      </c>
      <c r="O29" s="2">
        <v>74</v>
      </c>
      <c r="P29" s="2">
        <v>56</v>
      </c>
      <c r="Q29" s="2">
        <v>19</v>
      </c>
      <c r="R29" s="2">
        <v>11</v>
      </c>
      <c r="S29" s="2">
        <v>700</v>
      </c>
      <c r="T29" s="2">
        <f t="shared" si="0"/>
        <v>700</v>
      </c>
      <c r="U29" s="2">
        <v>0</v>
      </c>
      <c r="V29" s="2">
        <f t="shared" si="1"/>
        <v>15</v>
      </c>
      <c r="W29" s="27"/>
    </row>
    <row r="30" spans="1:23" ht="30" x14ac:dyDescent="0.25">
      <c r="A30" s="2" t="s">
        <v>5</v>
      </c>
      <c r="B30" s="5" t="s">
        <v>9</v>
      </c>
      <c r="C30" s="2" t="s">
        <v>8</v>
      </c>
      <c r="D30" s="24" t="s">
        <v>60</v>
      </c>
      <c r="E30" s="2">
        <v>147815</v>
      </c>
      <c r="F30" s="8" t="s">
        <v>49</v>
      </c>
      <c r="G30" s="3" t="s">
        <v>7</v>
      </c>
      <c r="H30" s="4" t="s">
        <v>1</v>
      </c>
      <c r="I30" s="4" t="s">
        <v>0</v>
      </c>
      <c r="J30" s="2">
        <v>0</v>
      </c>
      <c r="K30" s="2">
        <v>0</v>
      </c>
      <c r="L30" s="6">
        <v>40</v>
      </c>
      <c r="M30" s="2">
        <v>70</v>
      </c>
      <c r="N30" s="2">
        <v>20</v>
      </c>
      <c r="O30" s="2">
        <v>10</v>
      </c>
      <c r="P30" s="2">
        <v>0</v>
      </c>
      <c r="Q30" s="2">
        <v>0</v>
      </c>
      <c r="R30" s="2">
        <v>0</v>
      </c>
      <c r="S30" s="2">
        <v>1820</v>
      </c>
      <c r="T30" s="2">
        <f t="shared" si="0"/>
        <v>140</v>
      </c>
      <c r="U30" s="2">
        <f>146+55+2</f>
        <v>203</v>
      </c>
      <c r="V30" s="7">
        <f t="shared" si="1"/>
        <v>37.4</v>
      </c>
      <c r="W30" s="27"/>
    </row>
    <row r="31" spans="1:23" ht="30" x14ac:dyDescent="0.25">
      <c r="A31" s="2" t="s">
        <v>5</v>
      </c>
      <c r="B31" s="5" t="s">
        <v>9</v>
      </c>
      <c r="C31" s="2" t="s">
        <v>8</v>
      </c>
      <c r="D31" s="25" t="s">
        <v>60</v>
      </c>
      <c r="E31" s="2">
        <v>147816</v>
      </c>
      <c r="F31" s="8" t="s">
        <v>49</v>
      </c>
      <c r="G31" s="3" t="s">
        <v>7</v>
      </c>
      <c r="H31" s="4" t="s">
        <v>1</v>
      </c>
      <c r="I31" s="4" t="s">
        <v>0</v>
      </c>
      <c r="J31" s="2">
        <v>6</v>
      </c>
      <c r="K31" s="2">
        <v>14</v>
      </c>
      <c r="L31" s="6">
        <v>39</v>
      </c>
      <c r="M31" s="2">
        <v>45</v>
      </c>
      <c r="N31" s="2">
        <v>62</v>
      </c>
      <c r="O31" s="2">
        <v>36</v>
      </c>
      <c r="P31" s="2">
        <v>42</v>
      </c>
      <c r="Q31" s="2">
        <v>25</v>
      </c>
      <c r="R31" s="2">
        <v>11</v>
      </c>
      <c r="S31" s="2">
        <v>280</v>
      </c>
      <c r="T31" s="2">
        <f t="shared" si="0"/>
        <v>280</v>
      </c>
      <c r="U31" s="2">
        <v>0</v>
      </c>
      <c r="V31" s="7">
        <f t="shared" si="1"/>
        <v>6.6</v>
      </c>
      <c r="W31" s="27"/>
    </row>
    <row r="32" spans="1:23" x14ac:dyDescent="0.25">
      <c r="A32" s="2" t="s">
        <v>5</v>
      </c>
      <c r="B32" s="5" t="s">
        <v>4</v>
      </c>
      <c r="C32" s="2" t="s">
        <v>3</v>
      </c>
      <c r="D32" s="20" t="s">
        <v>61</v>
      </c>
      <c r="E32" s="2">
        <v>147830</v>
      </c>
      <c r="F32" s="8" t="s">
        <v>53</v>
      </c>
      <c r="G32" s="3" t="s">
        <v>6</v>
      </c>
      <c r="H32" s="4" t="s">
        <v>1</v>
      </c>
      <c r="I32" s="4" t="s">
        <v>0</v>
      </c>
      <c r="J32" s="2">
        <v>78</v>
      </c>
      <c r="K32" s="2">
        <v>103</v>
      </c>
      <c r="L32" s="6">
        <v>109</v>
      </c>
      <c r="M32" s="2">
        <v>273</v>
      </c>
      <c r="N32" s="2">
        <v>112</v>
      </c>
      <c r="O32" s="2">
        <v>187</v>
      </c>
      <c r="P32" s="2">
        <v>84</v>
      </c>
      <c r="Q32" s="2">
        <v>54</v>
      </c>
      <c r="R32" s="2"/>
      <c r="S32" s="2">
        <v>1000</v>
      </c>
      <c r="T32" s="2">
        <f t="shared" si="0"/>
        <v>1000</v>
      </c>
      <c r="U32" s="2">
        <v>0</v>
      </c>
      <c r="V32" s="2">
        <f t="shared" si="1"/>
        <v>21</v>
      </c>
      <c r="W32" s="27"/>
    </row>
    <row r="33" spans="1:23" x14ac:dyDescent="0.25">
      <c r="A33" s="2" t="s">
        <v>5</v>
      </c>
      <c r="B33" s="5" t="s">
        <v>4</v>
      </c>
      <c r="C33" s="2" t="s">
        <v>3</v>
      </c>
      <c r="D33" s="21" t="s">
        <v>61</v>
      </c>
      <c r="E33" s="2">
        <v>147831</v>
      </c>
      <c r="F33" s="8" t="s">
        <v>53</v>
      </c>
      <c r="G33" s="3" t="s">
        <v>2</v>
      </c>
      <c r="H33" s="4" t="s">
        <v>1</v>
      </c>
      <c r="I33" s="4" t="s">
        <v>0</v>
      </c>
      <c r="J33" s="2">
        <v>61</v>
      </c>
      <c r="K33" s="2">
        <v>101</v>
      </c>
      <c r="L33" s="3">
        <v>131</v>
      </c>
      <c r="M33" s="2">
        <v>198</v>
      </c>
      <c r="N33" s="2">
        <v>109</v>
      </c>
      <c r="O33" s="2">
        <v>62</v>
      </c>
      <c r="P33" s="2">
        <v>85</v>
      </c>
      <c r="Q33" s="2">
        <v>47</v>
      </c>
      <c r="R33" s="2">
        <v>6</v>
      </c>
      <c r="S33" s="2">
        <v>800</v>
      </c>
      <c r="T33" s="2">
        <f t="shared" si="0"/>
        <v>800</v>
      </c>
      <c r="U33" s="2">
        <v>0</v>
      </c>
      <c r="V33" s="2">
        <f t="shared" si="1"/>
        <v>17</v>
      </c>
      <c r="W33" s="27"/>
    </row>
    <row r="35" spans="1:23" ht="15.75" thickBot="1" x14ac:dyDescent="0.3"/>
    <row r="36" spans="1:23" ht="27" thickBot="1" x14ac:dyDescent="0.45">
      <c r="G36" s="14" t="s">
        <v>64</v>
      </c>
      <c r="H36" s="15"/>
      <c r="I36" s="15"/>
      <c r="J36" s="15"/>
      <c r="K36" s="15"/>
      <c r="L36" s="15"/>
      <c r="M36" s="16"/>
    </row>
    <row r="37" spans="1:23" ht="27" thickBot="1" x14ac:dyDescent="0.45">
      <c r="G37" s="14" t="s">
        <v>65</v>
      </c>
      <c r="H37" s="15"/>
      <c r="I37" s="15"/>
      <c r="J37" s="15"/>
      <c r="K37" s="15"/>
      <c r="L37" s="15"/>
      <c r="M37" s="16"/>
    </row>
    <row r="38" spans="1:23" ht="27" thickBot="1" x14ac:dyDescent="0.45">
      <c r="G38" s="17" t="s">
        <v>66</v>
      </c>
      <c r="H38" s="18"/>
      <c r="I38" s="18"/>
      <c r="J38" s="18"/>
      <c r="K38" s="18"/>
      <c r="L38" s="18"/>
      <c r="M38" s="19"/>
    </row>
  </sheetData>
  <mergeCells count="4">
    <mergeCell ref="A1:W1"/>
    <mergeCell ref="G36:M36"/>
    <mergeCell ref="G37:M37"/>
    <mergeCell ref="G38:M38"/>
  </mergeCells>
  <pageMargins left="0.7" right="0.7" top="0.75" bottom="0.75" header="0.3" footer="0.3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Mahabur Rahman</dc:creator>
  <cp:lastModifiedBy>Maruf</cp:lastModifiedBy>
  <dcterms:created xsi:type="dcterms:W3CDTF">2026-06-27T18:04:10Z</dcterms:created>
  <dcterms:modified xsi:type="dcterms:W3CDTF">2026-09-05T05:26:16Z</dcterms:modified>
</cp:coreProperties>
</file>